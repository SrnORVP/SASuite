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rnorvpsmac/Library/Mobile Documents/com~apple~CloudDocs/0-Python Projects/1-SASuite2.0/0-Source/"/>
    </mc:Choice>
  </mc:AlternateContent>
  <xr:revisionPtr revIDLastSave="0" documentId="13_ncr:1_{2D4AD377-AC41-064B-924E-9E08F1E0A85D}" xr6:coauthVersionLast="45" xr6:coauthVersionMax="45" xr10:uidLastSave="{00000000-0000-0000-0000-000000000000}"/>
  <bookViews>
    <workbookView xWindow="38400" yWindow="460" windowWidth="38400" windowHeight="21140" xr2:uid="{00000000-000D-0000-FFFF-FFFF00000000}"/>
  </bookViews>
  <sheets>
    <sheet name="MailMerge" sheetId="1" r:id="rId1"/>
    <sheet name="Recommendation" sheetId="2" r:id="rId2"/>
  </sheets>
  <definedNames>
    <definedName name="_xlnm._FilterDatabase" localSheetId="0" hidden="1">MailMerge!$B$3:$AP$92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4" i="1" l="1"/>
  <c r="AO4" i="1"/>
  <c r="AN4" i="1"/>
  <c r="AQ4" i="1"/>
  <c r="AL4" i="1" l="1"/>
  <c r="AM4" i="1" s="1"/>
</calcChain>
</file>

<file path=xl/sharedStrings.xml><?xml version="1.0" encoding="utf-8"?>
<sst xmlns="http://schemas.openxmlformats.org/spreadsheetml/2006/main" count="66" uniqueCount="61">
  <si>
    <t>tarSIL_SIF</t>
  </si>
  <si>
    <t>tarPFD_SIF</t>
  </si>
  <si>
    <t>tarRRF_SIF</t>
  </si>
  <si>
    <t>PFD_INT</t>
  </si>
  <si>
    <t>RRF_SIF</t>
  </si>
  <si>
    <t>PFDsil_SIF</t>
  </si>
  <si>
    <t>PFD_SIF</t>
  </si>
  <si>
    <t>AC_INT</t>
  </si>
  <si>
    <t>ACsil_SIF</t>
  </si>
  <si>
    <t>MTF_SIF</t>
  </si>
  <si>
    <t>SIL_SIF</t>
  </si>
  <si>
    <t>SIF Definition</t>
  </si>
  <si>
    <t>PFD Assessment and Corresponding Test Interval</t>
  </si>
  <si>
    <t>HFT Assessment Achieved SIL</t>
  </si>
  <si>
    <t>Compliance</t>
  </si>
  <si>
    <t>RecToggle</t>
  </si>
  <si>
    <t>SIF#</t>
  </si>
  <si>
    <t>Description</t>
  </si>
  <si>
    <t>SIL Target and RRF</t>
  </si>
  <si>
    <t>Initiator(s)</t>
  </si>
  <si>
    <t>Final Element(s)</t>
  </si>
  <si>
    <t>Sensor</t>
  </si>
  <si>
    <t>Logic Solver</t>
  </si>
  <si>
    <t>Final Element</t>
  </si>
  <si>
    <t>Achieved RRF</t>
  </si>
  <si>
    <t>Spurious Trip Rate</t>
  </si>
  <si>
    <t>Achieved SIL</t>
  </si>
  <si>
    <t>Recommendation/ Comments</t>
  </si>
  <si>
    <t>Compact</t>
  </si>
  <si>
    <t>Expand</t>
  </si>
  <si>
    <t>Recommendation</t>
  </si>
  <si>
    <t>vot_INT</t>
  </si>
  <si>
    <t>vot_PFE</t>
  </si>
  <si>
    <t>PFD_PLC</t>
  </si>
  <si>
    <t>PFD_PFE</t>
  </si>
  <si>
    <t>AC_PLC</t>
  </si>
  <si>
    <t>AC_PFE</t>
  </si>
  <si>
    <t>name_SIF</t>
  </si>
  <si>
    <t>unit_SIF</t>
  </si>
  <si>
    <t>ref_SIF</t>
  </si>
  <si>
    <t>desc_SIF</t>
  </si>
  <si>
    <t>C1_INT</t>
  </si>
  <si>
    <t>C2_INT</t>
  </si>
  <si>
    <t>C3_INT</t>
  </si>
  <si>
    <t>C4_INT</t>
  </si>
  <si>
    <t>C5_INT</t>
  </si>
  <si>
    <t>C1_PFE</t>
  </si>
  <si>
    <t>C2_PFE</t>
  </si>
  <si>
    <t>C3_PFE</t>
  </si>
  <si>
    <t>C4_PFE</t>
  </si>
  <si>
    <t>C5_PFE</t>
  </si>
  <si>
    <t>C6_PFE</t>
  </si>
  <si>
    <t>C7_PFE</t>
  </si>
  <si>
    <t>meet_SIF</t>
  </si>
  <si>
    <t>rec1_SIF</t>
  </si>
  <si>
    <t>rec2_SIF</t>
  </si>
  <si>
    <t>rec3_SIF</t>
  </si>
  <si>
    <t>PTI_INT</t>
  </si>
  <si>
    <t>PTI_PLC</t>
  </si>
  <si>
    <t>PTI_PFE</t>
  </si>
  <si>
    <t>PST_PFE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</si>
</sst>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E+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7"/>
  <sheetViews>
    <sheetView tabSelected="1" topLeftCell="AC1" workbookViewId="0">
      <selection activeCell="AL4" sqref="AL4"/>
    </sheetView>
  </sheetViews>
  <sheetFormatPr baseColWidth="10" defaultColWidth="8.83203125" defaultRowHeight="15" x14ac:dyDescent="0.2"/>
  <cols>
    <col min="1" max="1" width="10" bestFit="1" customWidth="1"/>
    <col min="2" max="2" width="11.33203125" bestFit="1" customWidth="1"/>
    <col min="3" max="3" width="7.33203125" bestFit="1" customWidth="1"/>
    <col min="4" max="4" width="6.1640625" bestFit="1" customWidth="1"/>
    <col min="5" max="5" width="50.83203125" customWidth="1"/>
    <col min="6" max="6" width="14.6640625" bestFit="1" customWidth="1"/>
    <col min="7" max="7" width="9.33203125" bestFit="1" customWidth="1"/>
    <col min="8" max="8" width="9.1640625" style="2" bestFit="1" customWidth="1"/>
    <col min="9" max="9" width="9.1640625" bestFit="1" customWidth="1"/>
    <col min="10" max="13" width="6.5" bestFit="1" customWidth="1"/>
    <col min="14" max="14" width="7" style="2" bestFit="1" customWidth="1"/>
    <col min="15" max="15" width="13" bestFit="1" customWidth="1"/>
    <col min="16" max="21" width="6.6640625" bestFit="1" customWidth="1"/>
    <col min="22" max="22" width="7.1640625" style="2" bestFit="1" customWidth="1"/>
    <col min="23" max="23" width="10.83203125" style="2" customWidth="1"/>
    <col min="24" max="24" width="10.1640625" style="2" bestFit="1" customWidth="1"/>
    <col min="25" max="25" width="11.33203125" style="2" bestFit="1" customWidth="1"/>
    <col min="26" max="26" width="7" style="2" bestFit="1" customWidth="1"/>
    <col min="27" max="27" width="11.1640625" style="2" bestFit="1" customWidth="1"/>
    <col min="28" max="28" width="7.1640625" style="2" bestFit="1" customWidth="1"/>
    <col min="29" max="29" width="6.83203125" style="2" bestFit="1" customWidth="1"/>
    <col min="30" max="30" width="7.1640625" style="2" bestFit="1" customWidth="1"/>
    <col min="31" max="31" width="7" style="2" bestFit="1" customWidth="1"/>
    <col min="32" max="32" width="7.33203125" style="2" bestFit="1" customWidth="1"/>
    <col min="33" max="33" width="6.5" style="2" bestFit="1" customWidth="1"/>
    <col min="34" max="34" width="10.1640625" style="2" bestFit="1" customWidth="1"/>
    <col min="35" max="35" width="11.33203125" style="2" bestFit="1" customWidth="1"/>
    <col min="36" max="36" width="22.83203125" style="2" bestFit="1" customWidth="1"/>
    <col min="37" max="37" width="14.83203125" style="2" bestFit="1" customWidth="1"/>
    <col min="38" max="38" width="10.5" style="2" bestFit="1" customWidth="1"/>
    <col min="39" max="39" width="10.1640625" bestFit="1" customWidth="1"/>
    <col min="40" max="40" width="24.1640625" bestFit="1" customWidth="1"/>
    <col min="41" max="42" width="7.5" bestFit="1" customWidth="1"/>
  </cols>
  <sheetData>
    <row r="1" spans="1:43" x14ac:dyDescent="0.2">
      <c r="B1" t="s">
        <v>37</v>
      </c>
      <c r="C1" t="s">
        <v>38</v>
      </c>
      <c r="D1" t="s">
        <v>39</v>
      </c>
      <c r="E1" t="s">
        <v>40</v>
      </c>
      <c r="F1" t="s">
        <v>0</v>
      </c>
      <c r="G1" t="s">
        <v>1</v>
      </c>
      <c r="H1" s="2" t="s">
        <v>2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s="2" t="s">
        <v>31</v>
      </c>
      <c r="O1" t="s">
        <v>46</v>
      </c>
      <c r="P1" t="s">
        <v>47</v>
      </c>
      <c r="Q1" t="s">
        <v>48</v>
      </c>
      <c r="R1" t="s">
        <v>49</v>
      </c>
      <c r="S1" t="s">
        <v>50</v>
      </c>
      <c r="T1" t="s">
        <v>51</v>
      </c>
      <c r="U1" t="s">
        <v>52</v>
      </c>
      <c r="V1" s="2" t="s">
        <v>32</v>
      </c>
      <c r="W1" s="2" t="s">
        <v>3</v>
      </c>
      <c r="X1" s="2" t="s">
        <v>33</v>
      </c>
      <c r="Y1" s="2" t="s">
        <v>34</v>
      </c>
      <c r="Z1" s="2" t="s">
        <v>4</v>
      </c>
      <c r="AA1" s="2" t="s">
        <v>5</v>
      </c>
      <c r="AB1" s="2" t="s">
        <v>6</v>
      </c>
      <c r="AC1" s="2" t="s">
        <v>57</v>
      </c>
      <c r="AD1" s="2" t="s">
        <v>58</v>
      </c>
      <c r="AE1" s="2" t="s">
        <v>59</v>
      </c>
      <c r="AF1" s="2" t="s">
        <v>60</v>
      </c>
      <c r="AG1" s="2" t="s">
        <v>7</v>
      </c>
      <c r="AH1" s="2" t="s">
        <v>35</v>
      </c>
      <c r="AI1" s="2" t="s">
        <v>36</v>
      </c>
      <c r="AJ1" s="2" t="s">
        <v>8</v>
      </c>
      <c r="AK1" s="2" t="s">
        <v>9</v>
      </c>
      <c r="AL1" s="2" t="s">
        <v>10</v>
      </c>
      <c r="AM1" t="s">
        <v>53</v>
      </c>
      <c r="AN1" t="s">
        <v>54</v>
      </c>
      <c r="AO1" t="s">
        <v>55</v>
      </c>
      <c r="AP1" t="s">
        <v>56</v>
      </c>
    </row>
    <row r="2" spans="1:43" x14ac:dyDescent="0.2">
      <c r="B2" t="s">
        <v>11</v>
      </c>
      <c r="W2" s="2" t="s">
        <v>12</v>
      </c>
      <c r="AJ2" s="2" t="s">
        <v>13</v>
      </c>
      <c r="AL2" s="2" t="s">
        <v>14</v>
      </c>
    </row>
    <row r="3" spans="1:43" x14ac:dyDescent="0.2">
      <c r="A3" s="1" t="s">
        <v>15</v>
      </c>
      <c r="B3" s="4" t="s">
        <v>16</v>
      </c>
      <c r="C3" s="4"/>
      <c r="D3" s="4"/>
      <c r="E3" s="4" t="s">
        <v>17</v>
      </c>
      <c r="F3" s="4" t="s">
        <v>18</v>
      </c>
      <c r="G3" s="4"/>
      <c r="H3" s="4"/>
      <c r="I3" s="4" t="s">
        <v>19</v>
      </c>
      <c r="J3" s="4"/>
      <c r="K3" s="4"/>
      <c r="L3" s="4"/>
      <c r="M3" s="4"/>
      <c r="N3" s="4"/>
      <c r="O3" s="4" t="s">
        <v>20</v>
      </c>
      <c r="P3" s="4"/>
      <c r="Q3" s="4"/>
      <c r="R3" s="4"/>
      <c r="S3" s="4"/>
      <c r="T3" s="4"/>
      <c r="U3" s="4"/>
      <c r="V3" s="4"/>
      <c r="W3" s="4" t="s">
        <v>21</v>
      </c>
      <c r="X3" s="4" t="s">
        <v>22</v>
      </c>
      <c r="Y3" s="4" t="s">
        <v>23</v>
      </c>
      <c r="Z3" s="4" t="s">
        <v>24</v>
      </c>
      <c r="AA3" s="4"/>
      <c r="AB3" s="4"/>
      <c r="AC3" s="4"/>
      <c r="AD3" s="4"/>
      <c r="AE3" s="4"/>
      <c r="AF3" s="4"/>
      <c r="AG3" s="4" t="s">
        <v>21</v>
      </c>
      <c r="AH3" s="4" t="s">
        <v>22</v>
      </c>
      <c r="AI3" s="4" t="s">
        <v>23</v>
      </c>
      <c r="AJ3" s="4"/>
      <c r="AK3" s="4" t="s">
        <v>25</v>
      </c>
      <c r="AL3" s="4" t="s">
        <v>26</v>
      </c>
      <c r="AM3" s="4" t="s">
        <v>14</v>
      </c>
      <c r="AN3" s="4" t="s">
        <v>27</v>
      </c>
      <c r="AO3" s="4"/>
      <c r="AP3" s="4"/>
    </row>
    <row r="4" spans="1:43" x14ac:dyDescent="0.2">
      <c r="B4" s="4"/>
      <c r="C4" s="4"/>
      <c r="D4" s="4"/>
      <c r="E4" s="4"/>
      <c r="F4" s="4"/>
      <c r="G4" s="3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3"/>
      <c r="X4" s="3"/>
      <c r="Y4" s="3"/>
      <c r="Z4" s="4"/>
      <c r="AA4" s="4"/>
      <c r="AB4" s="3"/>
      <c r="AC4" s="4"/>
      <c r="AD4" s="4"/>
      <c r="AE4" s="4"/>
      <c r="AF4" s="4"/>
      <c r="AG4" s="4"/>
      <c r="AH4" s="4"/>
      <c r="AI4" s="4"/>
      <c r="AJ4" s="4"/>
      <c r="AK4" s="4"/>
      <c r="AL4" s="4">
        <f t="shared" ref="AL4" si="0">MIN(VALUE(AJ4),VALUE(AA4))</f>
        <v>0</v>
      </c>
      <c r="AM4" s="4" t="e">
        <f>IF(AND(AL4&gt;=VALUE(RIGHT(F4,1)),VALUE(Z4)&gt;=VALUE(H4)),"Yes","No")</f>
        <v>#VALUE!</v>
      </c>
      <c r="AN4" s="4" t="str">
        <f>LEFT(AQ4,200)</f>
        <v/>
      </c>
      <c r="AO4" s="4" t="str">
        <f>MID(AQ4,201,200)</f>
        <v/>
      </c>
      <c r="AP4" s="4" t="str">
        <f>MID(AQ4,401,200)</f>
        <v/>
      </c>
      <c r="AQ4" t="str">
        <f>IFERROR(VLOOKUP(B4,Recommendation!$A$2:$B$100,2,0),"")</f>
        <v/>
      </c>
    </row>
    <row r="5" spans="1:43" x14ac:dyDescent="0.2">
      <c r="A5" s="1" t="s">
        <v>28</v>
      </c>
    </row>
    <row r="7" spans="1:43" x14ac:dyDescent="0.2">
      <c r="A7" s="1" t="s">
        <v>29</v>
      </c>
    </row>
  </sheetData>
  <phoneticPr fontId="2" type="noConversion"/>
  <pageMargins left="0.7" right="0.7" top="0.75" bottom="0.75" header="0.3" footer="0.3"/>
  <pageSetup paperSize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"/>
  <sheetViews>
    <sheetView workbookViewId="0">
      <selection activeCell="C22" sqref="C22"/>
    </sheetView>
  </sheetViews>
  <sheetFormatPr baseColWidth="10" defaultColWidth="8.83203125" defaultRowHeight="15" x14ac:dyDescent="0.2"/>
  <cols>
    <col min="1" max="1" width="4.5" bestFit="1" customWidth="1"/>
    <col min="2" max="2" width="69.6640625" customWidth="1"/>
  </cols>
  <sheetData>
    <row r="1" spans="1:2" x14ac:dyDescent="0.2">
      <c r="A1" t="s">
        <v>16</v>
      </c>
      <c r="B1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MailMerge</vt:lpstr>
      <vt:lpstr>Recommendation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Simon Au</cp:lastModifiedBy>
  <dcterms:created xsi:type="dcterms:W3CDTF">2015-06-05T18:17:20Z</dcterms:created>
  <dcterms:modified xsi:type="dcterms:W3CDTF">2020-05-12T03:57:34Z</dcterms:modified>
</cp:coreProperties>
</file>